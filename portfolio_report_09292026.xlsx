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chris/Documents/GitHub/Bison_Asset_Management/"/>
    </mc:Choice>
  </mc:AlternateContent>
  <xr:revisionPtr revIDLastSave="0" documentId="8_{AEB9672D-E2CB-6040-A9C7-65A9CB0EFF86}" xr6:coauthVersionLast="47" xr6:coauthVersionMax="47" xr10:uidLastSave="{00000000-0000-0000-0000-000000000000}"/>
  <bookViews>
    <workbookView xWindow="7300" yWindow="1220" windowWidth="21840" windowHeight="13520" xr2:uid="{00000000-000D-0000-FFFF-FFFF00000000}"/>
  </bookViews>
  <sheets>
    <sheet name="Portfol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F54" i="1"/>
  <c r="C54" i="1"/>
  <c r="H54" i="1" s="1"/>
</calcChain>
</file>

<file path=xl/sharedStrings.xml><?xml version="1.0" encoding="utf-8"?>
<sst xmlns="http://schemas.openxmlformats.org/spreadsheetml/2006/main" count="62" uniqueCount="62">
  <si>
    <t>Ticker</t>
  </si>
  <si>
    <t>Shares</t>
  </si>
  <si>
    <t>CostBasis</t>
  </si>
  <si>
    <t>ClosePrice</t>
  </si>
  <si>
    <t>PriceDate</t>
  </si>
  <si>
    <t>MarketValue</t>
  </si>
  <si>
    <t>GainLoss</t>
  </si>
  <si>
    <t>GainLossPct</t>
  </si>
  <si>
    <t>PortfolioPct</t>
  </si>
  <si>
    <t>ACN</t>
  </si>
  <si>
    <t>AAPL</t>
  </si>
  <si>
    <t>AMZN</t>
  </si>
  <si>
    <t>ASML</t>
  </si>
  <si>
    <t>AWK</t>
  </si>
  <si>
    <t>BG</t>
  </si>
  <si>
    <t>BRK-B</t>
  </si>
  <si>
    <t>C</t>
  </si>
  <si>
    <t>CMI</t>
  </si>
  <si>
    <t>COF</t>
  </si>
  <si>
    <t>CPRT</t>
  </si>
  <si>
    <t>CVX</t>
  </si>
  <si>
    <t>DHI</t>
  </si>
  <si>
    <t>DVN</t>
  </si>
  <si>
    <t>EOG</t>
  </si>
  <si>
    <t>FDX</t>
  </si>
  <si>
    <t>FDXF</t>
  </si>
  <si>
    <t>GILD</t>
  </si>
  <si>
    <t>GM</t>
  </si>
  <si>
    <t>GOOG</t>
  </si>
  <si>
    <t>HAL</t>
  </si>
  <si>
    <t>HON</t>
  </si>
  <si>
    <t>HONA</t>
  </si>
  <si>
    <t>JBHT</t>
  </si>
  <si>
    <t>JNJ</t>
  </si>
  <si>
    <t>JPM</t>
  </si>
  <si>
    <t>KO</t>
  </si>
  <si>
    <t>MDLZ</t>
  </si>
  <si>
    <t>META</t>
  </si>
  <si>
    <t>MMM</t>
  </si>
  <si>
    <t>MSFT</t>
  </si>
  <si>
    <t>NTES</t>
  </si>
  <si>
    <t>NVDA</t>
  </si>
  <si>
    <t>ORCL</t>
  </si>
  <si>
    <t>ORLY</t>
  </si>
  <si>
    <t>PEP</t>
  </si>
  <si>
    <t>PNC</t>
  </si>
  <si>
    <t>RCL</t>
  </si>
  <si>
    <t>RTX</t>
  </si>
  <si>
    <t>SCHW</t>
  </si>
  <si>
    <t>SOLS</t>
  </si>
  <si>
    <t>SOLV</t>
  </si>
  <si>
    <t>SRE</t>
  </si>
  <si>
    <t>SWK</t>
  </si>
  <si>
    <t>TMUS</t>
  </si>
  <si>
    <t>TSM</t>
  </si>
  <si>
    <t>UGI</t>
  </si>
  <si>
    <t>VLO</t>
  </si>
  <si>
    <t>WMT</t>
  </si>
  <si>
    <t>WM</t>
  </si>
  <si>
    <t>XOM</t>
  </si>
  <si>
    <t>PORTFOLIO TOTAL</t>
  </si>
  <si>
    <t>Prices as of most recent close; report generated 2026-09-29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</si>
</sst>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#"/>
    <numFmt numFmtId="165" formatCode="\$#,##0.00"/>
    <numFmt numFmtId="166" formatCode="yyyy\-mm\-dd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 applyAlignment="1">
      <alignment horizontal="center"/>
    </xf>
    <xf numFmtId="10" fontId="1" fillId="0" borderId="0" xfId="0" applyNumberFormat="1" applyFont="1"/>
    <xf numFmtId="165" fontId="3" fillId="0" borderId="2" xfId="0" applyNumberFormat="1" applyFont="1" applyBorder="1"/>
    <xf numFmtId="10" fontId="3" fillId="0" borderId="2" xfId="0" applyNumberFormat="1" applyFont="1" applyBorder="1"/>
    <xf numFmtId="0" fontId="3" fillId="0" borderId="2" xfId="0" applyFont="1" applyBorder="1"/>
  </cellXfs>
  <cellStyles count="1">
    <cellStyle name="Normal" xfId="0" builtinId="0"/>
  </cellStyles>
  <dxfs count="2"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9C0006"/>
        <name val="Calibri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8.6640625" customWidth="1"/>
    <col min="2" max="2" width="10.6640625" customWidth="1"/>
    <col min="3" max="3" width="14.6640625" customWidth="1"/>
    <col min="4" max="5" width="12.6640625" customWidth="1"/>
    <col min="6" max="6" width="16.6640625" customWidth="1"/>
    <col min="7" max="7" width="14.6640625" customWidth="1"/>
    <col min="8" max="9" width="13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s="2">
        <v>31</v>
      </c>
      <c r="C2" s="3">
        <v>10346.719999999999</v>
      </c>
      <c r="D2" s="3">
        <v>174.47000122070301</v>
      </c>
      <c r="E2" s="4">
        <v>46293</v>
      </c>
      <c r="F2" s="3">
        <v>5408.5700378417996</v>
      </c>
      <c r="G2" s="3">
        <v>-4938.1499621581997</v>
      </c>
      <c r="H2" s="5">
        <v>-0.47726718826432002</v>
      </c>
      <c r="I2" s="5">
        <v>4.3667441644506004E-3</v>
      </c>
    </row>
    <row r="3" spans="1:9" x14ac:dyDescent="0.2">
      <c r="A3" t="s">
        <v>10</v>
      </c>
      <c r="B3" s="2">
        <v>320.7996</v>
      </c>
      <c r="C3" s="3">
        <v>52902.7</v>
      </c>
      <c r="D3" s="3">
        <v>338.39999389648398</v>
      </c>
      <c r="E3" s="4">
        <v>46293</v>
      </c>
      <c r="F3" s="3">
        <v>108558.582681995</v>
      </c>
      <c r="G3" s="3">
        <v>55655.882681994597</v>
      </c>
      <c r="H3" s="5">
        <v>1.0520423850199401</v>
      </c>
      <c r="I3" s="5">
        <v>8.7647484290836603E-2</v>
      </c>
    </row>
    <row r="4" spans="1:9" x14ac:dyDescent="0.2">
      <c r="A4" t="s">
        <v>11</v>
      </c>
      <c r="B4" s="2">
        <v>155</v>
      </c>
      <c r="C4" s="3">
        <v>27390.11</v>
      </c>
      <c r="D4" s="3">
        <v>246.14999389648401</v>
      </c>
      <c r="E4" s="4">
        <v>46293</v>
      </c>
      <c r="F4" s="3">
        <v>38153.2490539551</v>
      </c>
      <c r="G4" s="3">
        <v>10763.139053955099</v>
      </c>
      <c r="H4" s="5">
        <v>0.39295713138629501</v>
      </c>
      <c r="I4" s="5">
        <v>3.0803978962186101E-2</v>
      </c>
    </row>
    <row r="5" spans="1:9" x14ac:dyDescent="0.2">
      <c r="A5" t="s">
        <v>12</v>
      </c>
      <c r="B5" s="2">
        <v>21</v>
      </c>
      <c r="C5" s="3">
        <v>13863.05</v>
      </c>
      <c r="D5" s="3">
        <v>1771.41003417969</v>
      </c>
      <c r="E5" s="4">
        <v>46293</v>
      </c>
      <c r="F5" s="3">
        <v>37199.610717773401</v>
      </c>
      <c r="G5" s="3">
        <v>23336.560717773398</v>
      </c>
      <c r="H5" s="5">
        <v>1.6833641022555199</v>
      </c>
      <c r="I5" s="5">
        <v>3.0034035222827701E-2</v>
      </c>
    </row>
    <row r="6" spans="1:9" x14ac:dyDescent="0.2">
      <c r="A6" t="s">
        <v>13</v>
      </c>
      <c r="B6" s="2">
        <v>74.897099999999995</v>
      </c>
      <c r="C6" s="3">
        <v>9151.93</v>
      </c>
      <c r="D6" s="3">
        <v>128.92999267578099</v>
      </c>
      <c r="E6" s="4">
        <v>46293</v>
      </c>
      <c r="F6" s="3">
        <v>9656.4825544372507</v>
      </c>
      <c r="G6" s="3">
        <v>504.552554437254</v>
      </c>
      <c r="H6" s="5">
        <v>5.5130727009194101E-2</v>
      </c>
      <c r="I6" s="5">
        <v>7.7964024776748901E-3</v>
      </c>
    </row>
    <row r="7" spans="1:9" x14ac:dyDescent="0.2">
      <c r="A7" t="s">
        <v>14</v>
      </c>
      <c r="B7" s="2">
        <v>66.233199999999997</v>
      </c>
      <c r="C7" s="3">
        <v>5975.21</v>
      </c>
      <c r="D7" s="3">
        <v>109.05999755859401</v>
      </c>
      <c r="E7" s="4">
        <v>46293</v>
      </c>
      <c r="F7" s="3">
        <v>7223.3926302978498</v>
      </c>
      <c r="G7" s="3">
        <v>1248.18263029785</v>
      </c>
      <c r="H7" s="5">
        <v>0.208893516763068</v>
      </c>
      <c r="I7" s="5">
        <v>5.8319865315962999E-3</v>
      </c>
    </row>
    <row r="8" spans="1:9" x14ac:dyDescent="0.2">
      <c r="A8" t="s">
        <v>15</v>
      </c>
      <c r="B8" s="2">
        <v>36</v>
      </c>
      <c r="C8" s="3">
        <v>12481.92</v>
      </c>
      <c r="D8" s="3">
        <v>503.08999633789102</v>
      </c>
      <c r="E8" s="4">
        <v>46293</v>
      </c>
      <c r="F8" s="3">
        <v>18111.239868164099</v>
      </c>
      <c r="G8" s="3">
        <v>5629.3198681640597</v>
      </c>
      <c r="H8" s="5">
        <v>0.450997912834248</v>
      </c>
      <c r="I8" s="5">
        <v>1.4622562054651501E-2</v>
      </c>
    </row>
    <row r="9" spans="1:9" x14ac:dyDescent="0.2">
      <c r="A9" t="s">
        <v>16</v>
      </c>
      <c r="B9" s="2">
        <v>220.49969999999999</v>
      </c>
      <c r="C9" s="3">
        <v>14583.93</v>
      </c>
      <c r="D9" s="3">
        <v>131.30999755859401</v>
      </c>
      <c r="E9" s="4">
        <v>46293</v>
      </c>
      <c r="F9" s="3">
        <v>28953.815068670701</v>
      </c>
      <c r="G9" s="3">
        <v>14369.885068670699</v>
      </c>
      <c r="H9" s="5">
        <v>0.98532323376968001</v>
      </c>
      <c r="I9" s="5">
        <v>2.33765860671282E-2</v>
      </c>
    </row>
    <row r="10" spans="1:9" x14ac:dyDescent="0.2">
      <c r="A10" t="s">
        <v>17</v>
      </c>
      <c r="B10" s="2">
        <v>45.469499999999996</v>
      </c>
      <c r="C10" s="3">
        <v>10653.42</v>
      </c>
      <c r="D10" s="3">
        <v>517.84002685546898</v>
      </c>
      <c r="E10" s="4">
        <v>46293</v>
      </c>
      <c r="F10" s="3">
        <v>23545.927101104699</v>
      </c>
      <c r="G10" s="3">
        <v>12892.5071011047</v>
      </c>
      <c r="H10" s="5">
        <v>1.2101754273373899</v>
      </c>
      <c r="I10" s="5">
        <v>1.90103925891578E-2</v>
      </c>
    </row>
    <row r="11" spans="1:9" x14ac:dyDescent="0.2">
      <c r="A11" t="s">
        <v>18</v>
      </c>
      <c r="B11" s="2">
        <v>88.882199999999997</v>
      </c>
      <c r="C11" s="3">
        <v>16311.8</v>
      </c>
      <c r="D11" s="3">
        <v>196.46000671386699</v>
      </c>
      <c r="E11" s="4">
        <v>46293</v>
      </c>
      <c r="F11" s="3">
        <v>17461.797608743302</v>
      </c>
      <c r="G11" s="3">
        <v>1149.9976087432899</v>
      </c>
      <c r="H11" s="5">
        <v>7.0500963029419703E-2</v>
      </c>
      <c r="I11" s="5">
        <v>1.40982186188392E-2</v>
      </c>
    </row>
    <row r="12" spans="1:9" x14ac:dyDescent="0.2">
      <c r="A12" t="s">
        <v>19</v>
      </c>
      <c r="B12" s="2">
        <v>46</v>
      </c>
      <c r="C12" s="3">
        <v>1729.74</v>
      </c>
      <c r="D12" s="3">
        <v>27.219999313354499</v>
      </c>
      <c r="E12" s="4">
        <v>46293</v>
      </c>
      <c r="F12" s="3">
        <v>1252.1199684143101</v>
      </c>
      <c r="G12" s="3">
        <v>-477.62003158569303</v>
      </c>
      <c r="H12" s="5">
        <v>-0.27612244128348401</v>
      </c>
      <c r="I12" s="5">
        <v>1.0109303433273201E-3</v>
      </c>
    </row>
    <row r="13" spans="1:9" x14ac:dyDescent="0.2">
      <c r="A13" t="s">
        <v>20</v>
      </c>
      <c r="B13" s="2">
        <v>72.134399999999999</v>
      </c>
      <c r="C13" s="3">
        <v>10332.4</v>
      </c>
      <c r="D13" s="3">
        <v>206.36999511718801</v>
      </c>
      <c r="E13" s="4">
        <v>46293</v>
      </c>
      <c r="F13" s="3">
        <v>14886.3757757812</v>
      </c>
      <c r="G13" s="3">
        <v>4553.9757757812504</v>
      </c>
      <c r="H13" s="5">
        <v>0.44074714255944902</v>
      </c>
      <c r="I13" s="5">
        <v>1.20188874497132E-2</v>
      </c>
    </row>
    <row r="14" spans="1:9" x14ac:dyDescent="0.2">
      <c r="A14" t="s">
        <v>21</v>
      </c>
      <c r="B14" s="2">
        <v>76.697599999999994</v>
      </c>
      <c r="C14" s="3">
        <v>10456.39</v>
      </c>
      <c r="D14" s="3">
        <v>139.419998168945</v>
      </c>
      <c r="E14" s="4">
        <v>46293</v>
      </c>
      <c r="F14" s="3">
        <v>10693.1792515625</v>
      </c>
      <c r="G14" s="3">
        <v>236.789251562499</v>
      </c>
      <c r="H14" s="5">
        <v>2.2645411232987599E-2</v>
      </c>
      <c r="I14" s="5">
        <v>8.6334054601274E-3</v>
      </c>
    </row>
    <row r="15" spans="1:9" x14ac:dyDescent="0.2">
      <c r="A15" t="s">
        <v>22</v>
      </c>
      <c r="B15" s="2">
        <v>203.7997</v>
      </c>
      <c r="C15" s="3">
        <v>8013.87</v>
      </c>
      <c r="D15" s="3">
        <v>46.7299995422363</v>
      </c>
      <c r="E15" s="4">
        <v>46293</v>
      </c>
      <c r="F15" s="3">
        <v>9523.5598877078992</v>
      </c>
      <c r="G15" s="3">
        <v>1509.6898877079</v>
      </c>
      <c r="H15" s="5">
        <v>0.18838462412141699</v>
      </c>
      <c r="I15" s="5">
        <v>7.6890840413409798E-3</v>
      </c>
    </row>
    <row r="16" spans="1:9" x14ac:dyDescent="0.2">
      <c r="A16" t="s">
        <v>23</v>
      </c>
      <c r="B16" s="2">
        <v>102.36490000000001</v>
      </c>
      <c r="C16" s="3">
        <v>12434.62</v>
      </c>
      <c r="D16" s="3">
        <v>140.63000488281199</v>
      </c>
      <c r="E16" s="4">
        <v>46293</v>
      </c>
      <c r="F16" s="3">
        <v>14395.576386828599</v>
      </c>
      <c r="G16" s="3">
        <v>1960.95638682861</v>
      </c>
      <c r="H16" s="5">
        <v>0.15770135209830399</v>
      </c>
      <c r="I16" s="5">
        <v>1.1622628299396301E-2</v>
      </c>
    </row>
    <row r="17" spans="1:9" x14ac:dyDescent="0.2">
      <c r="A17" t="s">
        <v>24</v>
      </c>
      <c r="B17" s="2">
        <v>14.9382</v>
      </c>
      <c r="C17" s="3">
        <v>2834.32</v>
      </c>
      <c r="D17" s="3">
        <v>289.64999389648398</v>
      </c>
      <c r="E17" s="4">
        <v>46293</v>
      </c>
      <c r="F17" s="3">
        <v>4326.8495388244601</v>
      </c>
      <c r="G17" s="3">
        <v>1492.5295388244599</v>
      </c>
      <c r="H17" s="5">
        <v>0.52659175351564502</v>
      </c>
      <c r="I17" s="5">
        <v>3.4933900905269499E-3</v>
      </c>
    </row>
    <row r="18" spans="1:9" x14ac:dyDescent="0.2">
      <c r="A18" t="s">
        <v>25</v>
      </c>
      <c r="B18" s="2">
        <v>7</v>
      </c>
      <c r="C18" s="3">
        <v>616.30999999999995</v>
      </c>
      <c r="D18" s="3">
        <v>112.300003051758</v>
      </c>
      <c r="E18" s="4">
        <v>46293</v>
      </c>
      <c r="F18" s="3">
        <v>786.10002136230503</v>
      </c>
      <c r="G18" s="3">
        <v>169.790021362305</v>
      </c>
      <c r="H18" s="5">
        <v>0.27549450984456603</v>
      </c>
      <c r="I18" s="5">
        <v>6.3467749459487498E-4</v>
      </c>
    </row>
    <row r="19" spans="1:9" x14ac:dyDescent="0.2">
      <c r="A19" t="s">
        <v>26</v>
      </c>
      <c r="B19" s="2">
        <v>69.297600000000003</v>
      </c>
      <c r="C19" s="3">
        <v>5081.3999999999996</v>
      </c>
      <c r="D19" s="3">
        <v>152.21000671386699</v>
      </c>
      <c r="E19" s="4">
        <v>46293</v>
      </c>
      <c r="F19" s="3">
        <v>10547.788161254901</v>
      </c>
      <c r="G19" s="3">
        <v>5466.3881612548803</v>
      </c>
      <c r="H19" s="5">
        <v>1.0757641912179501</v>
      </c>
      <c r="I19" s="5">
        <v>8.5160203304680201E-3</v>
      </c>
    </row>
    <row r="20" spans="1:9" x14ac:dyDescent="0.2">
      <c r="A20" t="s">
        <v>27</v>
      </c>
      <c r="B20" s="2">
        <v>283.03219999999999</v>
      </c>
      <c r="C20" s="3">
        <v>10016.91</v>
      </c>
      <c r="D20" s="3">
        <v>80.639999389648395</v>
      </c>
      <c r="E20" s="4">
        <v>46293</v>
      </c>
      <c r="F20" s="3">
        <v>22823.716435250899</v>
      </c>
      <c r="G20" s="3">
        <v>12806.806435250901</v>
      </c>
      <c r="H20" s="5">
        <v>1.27851866845673</v>
      </c>
      <c r="I20" s="5">
        <v>1.8427297762141401E-2</v>
      </c>
    </row>
    <row r="21" spans="1:9" x14ac:dyDescent="0.2">
      <c r="A21" t="s">
        <v>28</v>
      </c>
      <c r="B21" s="2">
        <v>207.37309999999999</v>
      </c>
      <c r="C21" s="3">
        <v>39364.75</v>
      </c>
      <c r="D21" s="3">
        <v>339.16000366210898</v>
      </c>
      <c r="E21" s="4">
        <v>46293</v>
      </c>
      <c r="F21" s="3">
        <v>70332.661355422999</v>
      </c>
      <c r="G21" s="3">
        <v>30967.911355422999</v>
      </c>
      <c r="H21" s="5">
        <v>0.78669142711240303</v>
      </c>
      <c r="I21" s="5">
        <v>5.67848315534853E-2</v>
      </c>
    </row>
    <row r="22" spans="1:9" x14ac:dyDescent="0.2">
      <c r="A22" t="s">
        <v>29</v>
      </c>
      <c r="B22" s="2">
        <v>235.5909</v>
      </c>
      <c r="C22" s="3">
        <v>6959.49</v>
      </c>
      <c r="D22" s="3">
        <v>32.430000305175803</v>
      </c>
      <c r="E22" s="4">
        <v>46293</v>
      </c>
      <c r="F22" s="3">
        <v>7640.21295889664</v>
      </c>
      <c r="G22" s="3">
        <v>680.72295889663701</v>
      </c>
      <c r="H22" s="5">
        <v>9.7812190102527299E-2</v>
      </c>
      <c r="I22" s="5">
        <v>6.1685168390154897E-3</v>
      </c>
    </row>
    <row r="23" spans="1:9" x14ac:dyDescent="0.2">
      <c r="A23" t="s">
        <v>30</v>
      </c>
      <c r="B23" s="2">
        <v>72</v>
      </c>
      <c r="C23" s="3">
        <v>13424.14</v>
      </c>
      <c r="D23" s="3">
        <v>211.52000427246099</v>
      </c>
      <c r="E23" s="4">
        <v>46293</v>
      </c>
      <c r="F23" s="3">
        <v>15229.4403076172</v>
      </c>
      <c r="G23" s="3">
        <v>1805.3003076171899</v>
      </c>
      <c r="H23" s="5">
        <v>0.13448163589005999</v>
      </c>
      <c r="I23" s="5">
        <v>1.2295869171673499E-2</v>
      </c>
    </row>
    <row r="24" spans="1:9" x14ac:dyDescent="0.2">
      <c r="A24" t="s">
        <v>31</v>
      </c>
      <c r="B24" s="2">
        <v>72</v>
      </c>
      <c r="C24" s="3">
        <v>12676.7</v>
      </c>
      <c r="D24" s="3">
        <v>152.32000732421901</v>
      </c>
      <c r="E24" s="4">
        <v>46293</v>
      </c>
      <c r="F24" s="3">
        <v>10967.040527343799</v>
      </c>
      <c r="G24" s="3">
        <v>-1709.65947265625</v>
      </c>
      <c r="H24" s="5">
        <v>-0.13486628796581501</v>
      </c>
      <c r="I24" s="5">
        <v>8.8545142041243606E-3</v>
      </c>
    </row>
    <row r="25" spans="1:9" x14ac:dyDescent="0.2">
      <c r="A25" t="s">
        <v>32</v>
      </c>
      <c r="B25" s="2">
        <v>159.3536</v>
      </c>
      <c r="C25" s="3">
        <v>26701.05</v>
      </c>
      <c r="D25" s="3">
        <v>226.07000732421901</v>
      </c>
      <c r="E25" s="4">
        <v>46293</v>
      </c>
      <c r="F25" s="3">
        <v>36025.069519140598</v>
      </c>
      <c r="G25" s="3">
        <v>9324.0195191406292</v>
      </c>
      <c r="H25" s="5">
        <v>0.34920048159681499</v>
      </c>
      <c r="I25" s="5">
        <v>2.9085740037750801E-2</v>
      </c>
    </row>
    <row r="26" spans="1:9" x14ac:dyDescent="0.2">
      <c r="A26" t="s">
        <v>33</v>
      </c>
      <c r="B26" s="2">
        <v>140.40899999999999</v>
      </c>
      <c r="C26" s="3">
        <v>21173.89</v>
      </c>
      <c r="D26" s="3">
        <v>271.95001220703102</v>
      </c>
      <c r="E26" s="4">
        <v>46293</v>
      </c>
      <c r="F26" s="3">
        <v>38184.229263977002</v>
      </c>
      <c r="G26" s="3">
        <v>17010.339263976999</v>
      </c>
      <c r="H26" s="5">
        <v>0.80336391961878695</v>
      </c>
      <c r="I26" s="5">
        <v>3.08289916088525E-2</v>
      </c>
    </row>
    <row r="27" spans="1:9" x14ac:dyDescent="0.2">
      <c r="A27" t="s">
        <v>34</v>
      </c>
      <c r="B27" s="2">
        <v>60.839599999999997</v>
      </c>
      <c r="C27" s="3">
        <v>8122.61</v>
      </c>
      <c r="D27" s="3">
        <v>336.58999633789102</v>
      </c>
      <c r="E27" s="4">
        <v>46293</v>
      </c>
      <c r="F27" s="3">
        <v>20478.000741198699</v>
      </c>
      <c r="G27" s="3">
        <v>12355.3907411987</v>
      </c>
      <c r="H27" s="5">
        <v>1.5211109164663501</v>
      </c>
      <c r="I27" s="5">
        <v>1.65334255839511E-2</v>
      </c>
    </row>
    <row r="28" spans="1:9" x14ac:dyDescent="0.2">
      <c r="A28" t="s">
        <v>35</v>
      </c>
      <c r="B28" s="2">
        <v>232.21299999999999</v>
      </c>
      <c r="C28" s="3">
        <v>14691.26</v>
      </c>
      <c r="D28" s="3">
        <v>87.180000305175795</v>
      </c>
      <c r="E28" s="4">
        <v>46293</v>
      </c>
      <c r="F28" s="3">
        <v>20244.329410865801</v>
      </c>
      <c r="G28" s="3">
        <v>5553.0694108657799</v>
      </c>
      <c r="H28" s="5">
        <v>0.37798455754413002</v>
      </c>
      <c r="I28" s="5">
        <v>1.6344765196641398E-2</v>
      </c>
    </row>
    <row r="29" spans="1:9" x14ac:dyDescent="0.2">
      <c r="A29" t="s">
        <v>36</v>
      </c>
      <c r="B29" s="2">
        <v>256.53750000000002</v>
      </c>
      <c r="C29" s="3">
        <v>18015.54</v>
      </c>
      <c r="D29" s="3">
        <v>60.180000305175803</v>
      </c>
      <c r="E29" s="4">
        <v>46293</v>
      </c>
      <c r="F29" s="3">
        <v>15438.426828289001</v>
      </c>
      <c r="G29" s="3">
        <v>-2577.1131717109702</v>
      </c>
      <c r="H29" s="5">
        <v>-0.14304945462145299</v>
      </c>
      <c r="I29" s="5">
        <v>1.24645996611019E-2</v>
      </c>
    </row>
    <row r="30" spans="1:9" x14ac:dyDescent="0.2">
      <c r="A30" t="s">
        <v>37</v>
      </c>
      <c r="B30" s="2">
        <v>31.0838</v>
      </c>
      <c r="C30" s="3">
        <v>14651.11</v>
      </c>
      <c r="D30" s="3">
        <v>715.61999511718795</v>
      </c>
      <c r="E30" s="4">
        <v>46293</v>
      </c>
      <c r="F30" s="3">
        <v>22244.188804223599</v>
      </c>
      <c r="G30" s="3">
        <v>7593.07880422363</v>
      </c>
      <c r="H30" s="5">
        <v>0.51825962703328499</v>
      </c>
      <c r="I30" s="5">
        <v>1.79594016485254E-2</v>
      </c>
    </row>
    <row r="31" spans="1:9" x14ac:dyDescent="0.2">
      <c r="A31" t="s">
        <v>38</v>
      </c>
      <c r="B31" s="2">
        <v>153.24700000000001</v>
      </c>
      <c r="C31" s="3">
        <v>13619.38</v>
      </c>
      <c r="D31" s="3">
        <v>169.47999572753901</v>
      </c>
      <c r="E31" s="4">
        <v>46293</v>
      </c>
      <c r="F31" s="3">
        <v>25972.300905258198</v>
      </c>
      <c r="G31" s="3">
        <v>12352.920905258199</v>
      </c>
      <c r="H31" s="5">
        <v>0.90701051775177599</v>
      </c>
      <c r="I31" s="5">
        <v>2.0969386107949399E-2</v>
      </c>
    </row>
    <row r="32" spans="1:9" x14ac:dyDescent="0.2">
      <c r="A32" t="s">
        <v>39</v>
      </c>
      <c r="B32" s="2">
        <v>142.1491</v>
      </c>
      <c r="C32" s="3">
        <v>57955.07</v>
      </c>
      <c r="D32" s="3">
        <v>509.22000122070301</v>
      </c>
      <c r="E32" s="4">
        <v>46293</v>
      </c>
      <c r="F32" s="3">
        <v>72385.164875521805</v>
      </c>
      <c r="G32" s="3">
        <v>14430.0948755218</v>
      </c>
      <c r="H32" s="5">
        <v>0.24898761877989001</v>
      </c>
      <c r="I32" s="5">
        <v>5.8441971556516897E-2</v>
      </c>
    </row>
    <row r="33" spans="1:9" x14ac:dyDescent="0.2">
      <c r="A33" t="s">
        <v>40</v>
      </c>
      <c r="B33" s="2">
        <v>144</v>
      </c>
      <c r="C33" s="3">
        <v>13617.5</v>
      </c>
      <c r="D33" s="3">
        <v>121.040000915527</v>
      </c>
      <c r="E33" s="4">
        <v>46293</v>
      </c>
      <c r="F33" s="3">
        <v>17429.760131835901</v>
      </c>
      <c r="G33" s="3">
        <v>3812.2601318359398</v>
      </c>
      <c r="H33" s="5">
        <v>0.27995301133364697</v>
      </c>
      <c r="I33" s="5">
        <v>1.4072352361334899E-2</v>
      </c>
    </row>
    <row r="34" spans="1:9" x14ac:dyDescent="0.2">
      <c r="A34" t="s">
        <v>41</v>
      </c>
      <c r="B34" s="2">
        <v>696.58389999999997</v>
      </c>
      <c r="C34" s="3">
        <v>18709.18</v>
      </c>
      <c r="D34" s="3">
        <v>228.86000061035199</v>
      </c>
      <c r="E34" s="4">
        <v>46293</v>
      </c>
      <c r="F34" s="3">
        <v>159420.19177916099</v>
      </c>
      <c r="G34" s="3">
        <v>140711.011779161</v>
      </c>
      <c r="H34" s="5">
        <v>7.5209609282267396</v>
      </c>
      <c r="I34" s="5">
        <v>0.128711875278782</v>
      </c>
    </row>
    <row r="35" spans="1:9" x14ac:dyDescent="0.2">
      <c r="A35" t="s">
        <v>42</v>
      </c>
      <c r="B35" s="2">
        <v>78.778599999999997</v>
      </c>
      <c r="C35" s="3">
        <v>9004.26</v>
      </c>
      <c r="D35" s="3">
        <v>132.60000610351599</v>
      </c>
      <c r="E35" s="4">
        <v>46293</v>
      </c>
      <c r="F35" s="3">
        <v>10446.0428408264</v>
      </c>
      <c r="G35" s="3">
        <v>1441.7828408264199</v>
      </c>
      <c r="H35" s="5">
        <v>0.16012230220211501</v>
      </c>
      <c r="I35" s="5">
        <v>8.4338737037011301E-3</v>
      </c>
    </row>
    <row r="36" spans="1:9" x14ac:dyDescent="0.2">
      <c r="A36" t="s">
        <v>43</v>
      </c>
      <c r="B36" s="2">
        <v>100</v>
      </c>
      <c r="C36" s="3">
        <v>9397.5</v>
      </c>
      <c r="D36" s="3">
        <v>86.510002136230497</v>
      </c>
      <c r="E36" s="4">
        <v>46293</v>
      </c>
      <c r="F36" s="3">
        <v>8651.0002136230505</v>
      </c>
      <c r="G36" s="3">
        <v>-746.49978637695301</v>
      </c>
      <c r="H36" s="5">
        <v>-7.9435997486241403E-2</v>
      </c>
      <c r="I36" s="5">
        <v>6.9846011857458701E-3</v>
      </c>
    </row>
    <row r="37" spans="1:9" x14ac:dyDescent="0.2">
      <c r="A37" t="s">
        <v>44</v>
      </c>
      <c r="B37" s="2">
        <v>63.884799999999998</v>
      </c>
      <c r="C37" s="3">
        <v>11563.31</v>
      </c>
      <c r="D37" s="3">
        <v>128.5</v>
      </c>
      <c r="E37" s="4">
        <v>46293</v>
      </c>
      <c r="F37" s="3">
        <v>8209.1967999999997</v>
      </c>
      <c r="G37" s="3">
        <v>-3354.1131999999998</v>
      </c>
      <c r="H37" s="5">
        <v>-0.29006514570654901</v>
      </c>
      <c r="I37" s="5">
        <v>6.6279001603778698E-3</v>
      </c>
    </row>
    <row r="38" spans="1:9" x14ac:dyDescent="0.2">
      <c r="A38" t="s">
        <v>45</v>
      </c>
      <c r="B38" s="2">
        <v>40.5974</v>
      </c>
      <c r="C38" s="3">
        <v>6006.09</v>
      </c>
      <c r="D38" s="3">
        <v>223.669998168945</v>
      </c>
      <c r="E38" s="4">
        <v>46293</v>
      </c>
      <c r="F38" s="3">
        <v>9080.4203836639408</v>
      </c>
      <c r="G38" s="3">
        <v>3074.3303836639402</v>
      </c>
      <c r="H38" s="5">
        <v>0.51186885039417296</v>
      </c>
      <c r="I38" s="5">
        <v>7.3313042899866496E-3</v>
      </c>
    </row>
    <row r="39" spans="1:9" x14ac:dyDescent="0.2">
      <c r="A39" t="s">
        <v>46</v>
      </c>
      <c r="B39" s="2">
        <v>98.3887</v>
      </c>
      <c r="C39" s="3">
        <v>12277.41</v>
      </c>
      <c r="D39" s="3">
        <v>242.58999633789099</v>
      </c>
      <c r="E39" s="4">
        <v>46293</v>
      </c>
      <c r="F39" s="3">
        <v>23868.114372689801</v>
      </c>
      <c r="G39" s="3">
        <v>11590.704372689799</v>
      </c>
      <c r="H39" s="5">
        <v>0.94406754948232696</v>
      </c>
      <c r="I39" s="5">
        <v>1.9270518533392698E-2</v>
      </c>
    </row>
    <row r="40" spans="1:9" x14ac:dyDescent="0.2">
      <c r="A40" t="s">
        <v>47</v>
      </c>
      <c r="B40" s="2">
        <v>81.365300000000005</v>
      </c>
      <c r="C40" s="3">
        <v>8196.91</v>
      </c>
      <c r="D40" s="3">
        <v>187.66000366210901</v>
      </c>
      <c r="E40" s="4">
        <v>46293</v>
      </c>
      <c r="F40" s="3">
        <v>15269.0124959686</v>
      </c>
      <c r="G40" s="3">
        <v>7072.1024959686301</v>
      </c>
      <c r="H40" s="5">
        <v>0.86277664338984195</v>
      </c>
      <c r="I40" s="5">
        <v>1.2327818766732701E-2</v>
      </c>
    </row>
    <row r="41" spans="1:9" x14ac:dyDescent="0.2">
      <c r="A41" t="s">
        <v>48</v>
      </c>
      <c r="B41" s="2">
        <v>179.74340000000001</v>
      </c>
      <c r="C41" s="3">
        <v>11974.57</v>
      </c>
      <c r="D41" s="3">
        <v>98.300003051757798</v>
      </c>
      <c r="E41" s="4">
        <v>46293</v>
      </c>
      <c r="F41" s="3">
        <v>17668.776768533298</v>
      </c>
      <c r="G41" s="3">
        <v>5694.2067685333304</v>
      </c>
      <c r="H41" s="5">
        <v>0.47552494732865802</v>
      </c>
      <c r="I41" s="5">
        <v>1.4265328415301599E-2</v>
      </c>
    </row>
    <row r="42" spans="1:9" x14ac:dyDescent="0.2">
      <c r="A42" t="s">
        <v>49</v>
      </c>
      <c r="B42" s="2">
        <v>35.068100000000001</v>
      </c>
      <c r="C42" s="3">
        <v>1566.62</v>
      </c>
      <c r="D42" s="3">
        <v>56.930000305175803</v>
      </c>
      <c r="E42" s="4">
        <v>46293</v>
      </c>
      <c r="F42" s="3">
        <v>1996.42694370193</v>
      </c>
      <c r="G42" s="3">
        <v>429.80694370193498</v>
      </c>
      <c r="H42" s="5">
        <v>0.27435302989999799</v>
      </c>
      <c r="I42" s="5">
        <v>1.61186517788741E-3</v>
      </c>
    </row>
    <row r="43" spans="1:9" x14ac:dyDescent="0.2">
      <c r="A43" t="s">
        <v>50</v>
      </c>
      <c r="B43" s="2">
        <v>36</v>
      </c>
      <c r="C43" s="3">
        <v>2284.36</v>
      </c>
      <c r="D43" s="3">
        <v>89.540000915527301</v>
      </c>
      <c r="E43" s="4">
        <v>46293</v>
      </c>
      <c r="F43" s="3">
        <v>3223.4400329589798</v>
      </c>
      <c r="G43" s="3">
        <v>939.08003295898402</v>
      </c>
      <c r="H43" s="5">
        <v>0.41109108588794402</v>
      </c>
      <c r="I43" s="5">
        <v>2.60252485497939E-3</v>
      </c>
    </row>
    <row r="44" spans="1:9" x14ac:dyDescent="0.2">
      <c r="A44" t="s">
        <v>51</v>
      </c>
      <c r="B44" s="2">
        <v>86.7911</v>
      </c>
      <c r="C44" s="3">
        <v>6092.28</v>
      </c>
      <c r="D44" s="3">
        <v>76.889999389648395</v>
      </c>
      <c r="E44" s="4">
        <v>46293</v>
      </c>
      <c r="F44" s="3">
        <v>6673.3676260269203</v>
      </c>
      <c r="G44" s="3">
        <v>581.08762602691695</v>
      </c>
      <c r="H44" s="5">
        <v>9.5380978226036403E-2</v>
      </c>
      <c r="I44" s="5">
        <v>5.38791010087665E-3</v>
      </c>
    </row>
    <row r="45" spans="1:9" x14ac:dyDescent="0.2">
      <c r="A45" t="s">
        <v>52</v>
      </c>
      <c r="B45" s="2">
        <v>142.1027</v>
      </c>
      <c r="C45" s="3">
        <v>10805.42</v>
      </c>
      <c r="D45" s="3">
        <v>88.730003356933594</v>
      </c>
      <c r="E45" s="4">
        <v>46293</v>
      </c>
      <c r="F45" s="3">
        <v>12608.773048029299</v>
      </c>
      <c r="G45" s="3">
        <v>1803.35304802933</v>
      </c>
      <c r="H45" s="5">
        <v>0.16689337832581499</v>
      </c>
      <c r="I45" s="5">
        <v>1.0180007976809799E-2</v>
      </c>
    </row>
    <row r="46" spans="1:9" x14ac:dyDescent="0.2">
      <c r="A46" t="s">
        <v>53</v>
      </c>
      <c r="B46" s="2">
        <v>104.5972</v>
      </c>
      <c r="C46" s="3">
        <v>15181.98</v>
      </c>
      <c r="D46" s="3">
        <v>166.44999694824199</v>
      </c>
      <c r="E46" s="4">
        <v>46293</v>
      </c>
      <c r="F46" s="3">
        <v>17410.203620794699</v>
      </c>
      <c r="G46" s="3">
        <v>2228.2236207946798</v>
      </c>
      <c r="H46" s="5">
        <v>0.14676765618151799</v>
      </c>
      <c r="I46" s="5">
        <v>1.40565629234856E-2</v>
      </c>
    </row>
    <row r="47" spans="1:9" x14ac:dyDescent="0.2">
      <c r="A47" t="s">
        <v>54</v>
      </c>
      <c r="B47" s="2">
        <v>129</v>
      </c>
      <c r="C47" s="3">
        <v>16562.310000000001</v>
      </c>
      <c r="D47" s="3">
        <v>452.88000488281199</v>
      </c>
      <c r="E47" s="4">
        <v>46293</v>
      </c>
      <c r="F47" s="3">
        <v>58421.520629882798</v>
      </c>
      <c r="G47" s="3">
        <v>41859.2106298828</v>
      </c>
      <c r="H47" s="5">
        <v>2.5273775596449299</v>
      </c>
      <c r="I47" s="5">
        <v>4.7168074464035203E-2</v>
      </c>
    </row>
    <row r="48" spans="1:9" x14ac:dyDescent="0.2">
      <c r="A48" t="s">
        <v>55</v>
      </c>
      <c r="B48" s="2">
        <v>161.08600000000001</v>
      </c>
      <c r="C48" s="3">
        <v>5445.63</v>
      </c>
      <c r="D48" s="3">
        <v>36.240001678466797</v>
      </c>
      <c r="E48" s="4">
        <v>46293</v>
      </c>
      <c r="F48" s="3">
        <v>5837.7569103775004</v>
      </c>
      <c r="G48" s="3">
        <v>392.12691037750301</v>
      </c>
      <c r="H48" s="5">
        <v>7.2007630040510098E-2</v>
      </c>
      <c r="I48" s="5">
        <v>4.71325891012115E-3</v>
      </c>
    </row>
    <row r="49" spans="1:9" x14ac:dyDescent="0.2">
      <c r="A49" t="s">
        <v>56</v>
      </c>
      <c r="B49" s="2">
        <v>126.1574</v>
      </c>
      <c r="C49" s="3">
        <v>17763.39</v>
      </c>
      <c r="D49" s="3">
        <v>389.57000732421898</v>
      </c>
      <c r="E49" s="4">
        <v>46293</v>
      </c>
      <c r="F49" s="3">
        <v>49147.139242004399</v>
      </c>
      <c r="G49" s="3">
        <v>31383.7492420044</v>
      </c>
      <c r="H49" s="5">
        <v>1.76676576047727</v>
      </c>
      <c r="I49" s="5">
        <v>3.96801709107759E-2</v>
      </c>
    </row>
    <row r="50" spans="1:9" x14ac:dyDescent="0.2">
      <c r="A50" t="s">
        <v>57</v>
      </c>
      <c r="B50" s="2">
        <v>54.668999999999997</v>
      </c>
      <c r="C50" s="3">
        <v>9887.4</v>
      </c>
      <c r="D50" s="3">
        <v>108.73000335693401</v>
      </c>
      <c r="E50" s="4">
        <v>46293</v>
      </c>
      <c r="F50" s="3">
        <v>5944.1605535201998</v>
      </c>
      <c r="G50" s="3">
        <v>-3943.2394464797999</v>
      </c>
      <c r="H50" s="5">
        <v>-0.39881459701031602</v>
      </c>
      <c r="I50" s="5">
        <v>4.7991665501292803E-3</v>
      </c>
    </row>
    <row r="51" spans="1:9" x14ac:dyDescent="0.2">
      <c r="A51" t="s">
        <v>58</v>
      </c>
      <c r="B51" s="2">
        <v>241.47190000000001</v>
      </c>
      <c r="C51" s="3">
        <v>12773.05</v>
      </c>
      <c r="D51" s="3">
        <v>206.44000244140599</v>
      </c>
      <c r="E51" s="4">
        <v>46293</v>
      </c>
      <c r="F51" s="3">
        <v>49849.459625531003</v>
      </c>
      <c r="G51" s="3">
        <v>37076.409625531</v>
      </c>
      <c r="H51" s="5">
        <v>2.9027060588920399</v>
      </c>
      <c r="I51" s="5">
        <v>4.02472068213552E-2</v>
      </c>
    </row>
    <row r="52" spans="1:9" x14ac:dyDescent="0.2">
      <c r="A52" t="s">
        <v>59</v>
      </c>
      <c r="B52" s="2">
        <v>115.5432</v>
      </c>
      <c r="C52" s="3">
        <v>11883.08</v>
      </c>
      <c r="D52" s="3">
        <v>162.52000427246099</v>
      </c>
      <c r="E52" s="4">
        <v>46293</v>
      </c>
      <c r="F52" s="3">
        <v>18778.081357653798</v>
      </c>
      <c r="G52" s="3">
        <v>6895.0013576538104</v>
      </c>
      <c r="H52" s="5">
        <v>0.58023688788208205</v>
      </c>
      <c r="I52" s="5">
        <v>1.5160953193616E-2</v>
      </c>
    </row>
    <row r="53" spans="1:9" x14ac:dyDescent="0.2">
      <c r="C53" s="3"/>
      <c r="D53" s="3"/>
      <c r="F53" s="3"/>
      <c r="G53" s="3"/>
      <c r="H53" s="5"/>
      <c r="I53" s="5"/>
    </row>
    <row r="54" spans="1:9" x14ac:dyDescent="0.2">
      <c r="A54" s="8" t="s">
        <v>60</v>
      </c>
      <c r="B54" s="8"/>
      <c r="C54" s="6">
        <f>SUMIFS(C2:C52,F2:F52,"&lt;&gt;")</f>
        <v>693523.99000000011</v>
      </c>
      <c r="D54" s="6"/>
      <c r="E54" s="8"/>
      <c r="F54" s="6">
        <f>SUM(F2:F52)</f>
        <v>1238581.8436245092</v>
      </c>
      <c r="G54" s="6">
        <f>SUM(G2:G52)</f>
        <v>545057.85362450883</v>
      </c>
      <c r="H54" s="7">
        <f>IF(C54=0,"",G54/C54)</f>
        <v>0.7859250169911336</v>
      </c>
      <c r="I54" s="7"/>
    </row>
    <row r="56" spans="1:9" x14ac:dyDescent="0.2">
      <c r="A56" t="s">
        <v>61</v>
      </c>
    </row>
  </sheetData>
  <conditionalFormatting sqref="G2:H54">
    <cfRule type="expression" dxfId="1" priority="1">
      <formula>G2&lt;0</formula>
    </cfRule>
    <cfRule type="expression" dxfId="0" priority="2">
      <formula>G2&gt;0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 Barker</cp:lastModifiedBy>
  <dcterms:created xsi:type="dcterms:W3CDTF">2026-09-29T22:59:43Z</dcterms:created>
  <dcterms:modified xsi:type="dcterms:W3CDTF">2026-09-30T02:19:54Z</dcterms:modified>
</cp:coreProperties>
</file>