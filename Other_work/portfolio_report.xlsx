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folio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<sst xmlns="http://schemas.openxmlformats.org/spreadsheetml/2006/main" count="62" uniqueCount="62">
  <si>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Ticker</t>
  </si>
  <si>
    <t xml:space="preserve">Shares</t>
  </si>
  <si>
    <t xml:space="preserve">CostBasis</t>
  </si>
  <si>
    <t xml:space="preserve">ClosePrice</t>
  </si>
  <si>
    <t xml:space="preserve">PriceDate</t>
  </si>
  <si>
    <t xml:space="preserve">MarketValue</t>
  </si>
  <si>
    <t xml:space="preserve">GainLoss</t>
  </si>
  <si>
    <t xml:space="preserve">GainLossPct</t>
  </si>
  <si>
    <t xml:space="preserve">PortfolioPct</t>
  </si>
  <si>
    <t xml:space="preserve">ACN</t>
  </si>
  <si>
    <t xml:space="preserve">AAPL</t>
  </si>
  <si>
    <t xml:space="preserve">AMZN</t>
  </si>
  <si>
    <t xml:space="preserve">ASML</t>
  </si>
  <si>
    <t xml:space="preserve">AWK</t>
  </si>
  <si>
    <t xml:space="preserve">BG</t>
  </si>
  <si>
    <t xml:space="preserve">BRK-B</t>
  </si>
  <si>
    <t xml:space="preserve">C</t>
  </si>
  <si>
    <t xml:space="preserve">CMI</t>
  </si>
  <si>
    <t xml:space="preserve">COF</t>
  </si>
  <si>
    <t xml:space="preserve">CPRT</t>
  </si>
  <si>
    <t xml:space="preserve">CVX</t>
  </si>
  <si>
    <t xml:space="preserve">DHI</t>
  </si>
  <si>
    <t xml:space="preserve">DVN</t>
  </si>
  <si>
    <t xml:space="preserve">EOG</t>
  </si>
  <si>
    <t xml:space="preserve">FDX</t>
  </si>
  <si>
    <t xml:space="preserve">FDXF</t>
  </si>
  <si>
    <t xml:space="preserve">GILD</t>
  </si>
  <si>
    <t xml:space="preserve">GM</t>
  </si>
  <si>
    <t xml:space="preserve">GOOG</t>
  </si>
  <si>
    <t xml:space="preserve">HAL</t>
  </si>
  <si>
    <t xml:space="preserve">HON</t>
  </si>
  <si>
    <t xml:space="preserve">HONA</t>
  </si>
  <si>
    <t xml:space="preserve">JBHT</t>
  </si>
  <si>
    <t xml:space="preserve">JNJ</t>
  </si>
  <si>
    <t xml:space="preserve">JPM</t>
  </si>
  <si>
    <t xml:space="preserve">KO</t>
  </si>
  <si>
    <t xml:space="preserve">MDLZ</t>
  </si>
  <si>
    <t xml:space="preserve">META</t>
  </si>
  <si>
    <t xml:space="preserve">MMM</t>
  </si>
  <si>
    <t xml:space="preserve">MSFT</t>
  </si>
  <si>
    <t xml:space="preserve">NTES</t>
  </si>
  <si>
    <t xml:space="preserve">NVDA</t>
  </si>
  <si>
    <t xml:space="preserve">ORCL</t>
  </si>
  <si>
    <t xml:space="preserve">ORLY</t>
  </si>
  <si>
    <t xml:space="preserve">PEP</t>
  </si>
  <si>
    <t xml:space="preserve">PNC</t>
  </si>
  <si>
    <t xml:space="preserve">RCL</t>
  </si>
  <si>
    <t xml:space="preserve">RTX</t>
  </si>
  <si>
    <t xml:space="preserve">SCHW</t>
  </si>
  <si>
    <t xml:space="preserve">SOLS</t>
  </si>
  <si>
    <t xml:space="preserve">SOLV</t>
  </si>
  <si>
    <t xml:space="preserve">SRE</t>
  </si>
  <si>
    <t xml:space="preserve">SWK</t>
  </si>
  <si>
    <t xml:space="preserve">TMUS</t>
  </si>
  <si>
    <t xml:space="preserve">TSM</t>
  </si>
  <si>
    <t xml:space="preserve">UGI</t>
  </si>
  <si>
    <t xml:space="preserve">VLO</t>
  </si>
  <si>
    <t xml:space="preserve">WMT</t>
  </si>
  <si>
    <t xml:space="preserve">WM</t>
  </si>
  <si>
    <t xml:space="preserve">XOM</t>
  </si>
  <si>
    <t xml:space="preserve">PORTFOLIO TOTAL</t>
  </si>
  <si>
    <t xml:space="preserve">Prices as of most recent close; report generated 2026-09-29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</si>
</sst>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.####"/>
    <numFmt numFmtId="167" formatCode="$#,##0.00"/>
    <numFmt numFmtId="168" formatCode="yyyy-mm-dd"/>
    <numFmt numFmtId="169" formatCode="0.00%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Font="1" applyNumberFormat="1"/>
    <xf numFmtId="0" fontId="2" fillId="2" borderId="1" xfId="0" applyFont="1" applyFill="1" applyBorder="1" applyAlignment="1">
      <alignment horizontal="center"/>
    </xf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 applyAlignment="1">
      <alignment horizontal="center"/>
    </xf>
    <xf numFmtId="169" fontId="1" fillId="0" borderId="0" xfId="0" applyFont="1" applyNumberFormat="1"/>
    <xf numFmtId="167" fontId="3" fillId="0" borderId="2" xfId="0" applyFont="1" applyNumberFormat="1" applyBorder="1"/>
    <xf numFmtId="169" fontId="3" fillId="0" borderId="2" xfId="0" applyFont="1" applyNumberFormat="1" applyBorder="1"/>
    <xf numFmtId="0" fontId="3" fillId="0" borderId="2" xfId="0" applyFont="1" applyBorder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0.71" hidden="0" customWidth="1"/>
    <col min="3" max="3" width="14.71" hidden="0" customWidth="1"/>
    <col min="4" max="4" width="12.71" hidden="0" customWidth="1"/>
    <col min="5" max="5" width="12.71" hidden="0" customWidth="1"/>
    <col min="6" max="6" width="16.71" hidden="0" customWidth="1"/>
    <col min="7" max="7" width="14.71" hidden="0" customWidth="1"/>
    <col min="8" max="8" width="13.71" hidden="0" customWidth="1"/>
    <col min="9" max="9" width="13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9</v>
      </c>
      <c r="B2" s="3" t="n">
        <v>31</v>
      </c>
      <c r="C2" s="4" t="n">
        <v>10346.72</v>
      </c>
      <c r="D2" s="4" t="n">
        <v>174.470001220703</v>
      </c>
      <c r="E2" s="5" t="n">
        <v>46293</v>
      </c>
      <c r="F2" s="4" t="n">
        <v>5408.5700378418</v>
      </c>
      <c r="G2" s="4" t="n">
        <v>-4938.1499621582</v>
      </c>
      <c r="H2" s="6" t="n">
        <v>-0.47726718826432</v>
      </c>
      <c r="I2" s="6" t="n">
        <v>0.0043667441644506</v>
      </c>
    </row>
    <row r="3">
      <c r="A3" t="s">
        <v>10</v>
      </c>
      <c r="B3" s="3" t="n">
        <v>320.7996</v>
      </c>
      <c r="C3" s="4" t="n">
        <v>52902.7</v>
      </c>
      <c r="D3" s="4" t="n">
        <v>338.399993896484</v>
      </c>
      <c r="E3" s="5" t="n">
        <v>46293</v>
      </c>
      <c r="F3" s="4" t="n">
        <v>108558.582681995</v>
      </c>
      <c r="G3" s="4" t="n">
        <v>55655.8826819946</v>
      </c>
      <c r="H3" s="6" t="n">
        <v>1.05204238501994</v>
      </c>
      <c r="I3" s="6" t="n">
        <v>0.0876474842908366</v>
      </c>
    </row>
    <row r="4">
      <c r="A4" t="s">
        <v>11</v>
      </c>
      <c r="B4" s="3" t="n">
        <v>155</v>
      </c>
      <c r="C4" s="4" t="n">
        <v>27390.11</v>
      </c>
      <c r="D4" s="4" t="n">
        <v>246.149993896484</v>
      </c>
      <c r="E4" s="5" t="n">
        <v>46293</v>
      </c>
      <c r="F4" s="4" t="n">
        <v>38153.2490539551</v>
      </c>
      <c r="G4" s="4" t="n">
        <v>10763.1390539551</v>
      </c>
      <c r="H4" s="6" t="n">
        <v>0.392957131386295</v>
      </c>
      <c r="I4" s="6" t="n">
        <v>0.0308039789621861</v>
      </c>
    </row>
    <row r="5">
      <c r="A5" t="s">
        <v>12</v>
      </c>
      <c r="B5" s="3" t="n">
        <v>21</v>
      </c>
      <c r="C5" s="4" t="n">
        <v>13863.05</v>
      </c>
      <c r="D5" s="4" t="n">
        <v>1771.41003417969</v>
      </c>
      <c r="E5" s="5" t="n">
        <v>46293</v>
      </c>
      <c r="F5" s="4" t="n">
        <v>37199.6107177734</v>
      </c>
      <c r="G5" s="4" t="n">
        <v>23336.5607177734</v>
      </c>
      <c r="H5" s="6" t="n">
        <v>1.68336410225552</v>
      </c>
      <c r="I5" s="6" t="n">
        <v>0.0300340352228277</v>
      </c>
    </row>
    <row r="6">
      <c r="A6" t="s">
        <v>13</v>
      </c>
      <c r="B6" s="3" t="n">
        <v>74.8971</v>
      </c>
      <c r="C6" s="4" t="n">
        <v>9151.93</v>
      </c>
      <c r="D6" s="4" t="n">
        <v>128.929992675781</v>
      </c>
      <c r="E6" s="5" t="n">
        <v>46293</v>
      </c>
      <c r="F6" s="4" t="n">
        <v>9656.48255443725</v>
      </c>
      <c r="G6" s="4" t="n">
        <v>504.552554437254</v>
      </c>
      <c r="H6" s="6" t="n">
        <v>0.0551307270091941</v>
      </c>
      <c r="I6" s="6" t="n">
        <v>0.00779640247767489</v>
      </c>
    </row>
    <row r="7">
      <c r="A7" t="s">
        <v>14</v>
      </c>
      <c r="B7" s="3" t="n">
        <v>66.2332</v>
      </c>
      <c r="C7" s="4" t="n">
        <v>5975.21</v>
      </c>
      <c r="D7" s="4" t="n">
        <v>109.059997558594</v>
      </c>
      <c r="E7" s="5" t="n">
        <v>46293</v>
      </c>
      <c r="F7" s="4" t="n">
        <v>7223.39263029785</v>
      </c>
      <c r="G7" s="4" t="n">
        <v>1248.18263029785</v>
      </c>
      <c r="H7" s="6" t="n">
        <v>0.208893516763068</v>
      </c>
      <c r="I7" s="6" t="n">
        <v>0.0058319865315963</v>
      </c>
    </row>
    <row r="8">
      <c r="A8" t="s">
        <v>15</v>
      </c>
      <c r="B8" s="3" t="n">
        <v>36</v>
      </c>
      <c r="C8" s="4" t="n">
        <v>12481.92</v>
      </c>
      <c r="D8" s="4" t="n">
        <v>503.089996337891</v>
      </c>
      <c r="E8" s="5" t="n">
        <v>46293</v>
      </c>
      <c r="F8" s="4" t="n">
        <v>18111.2398681641</v>
      </c>
      <c r="G8" s="4" t="n">
        <v>5629.31986816406</v>
      </c>
      <c r="H8" s="6" t="n">
        <v>0.450997912834248</v>
      </c>
      <c r="I8" s="6" t="n">
        <v>0.0146225620546515</v>
      </c>
    </row>
    <row r="9">
      <c r="A9" t="s">
        <v>16</v>
      </c>
      <c r="B9" s="3" t="n">
        <v>220.4997</v>
      </c>
      <c r="C9" s="4" t="n">
        <v>14583.93</v>
      </c>
      <c r="D9" s="4" t="n">
        <v>131.309997558594</v>
      </c>
      <c r="E9" s="5" t="n">
        <v>46293</v>
      </c>
      <c r="F9" s="4" t="n">
        <v>28953.8150686707</v>
      </c>
      <c r="G9" s="4" t="n">
        <v>14369.8850686707</v>
      </c>
      <c r="H9" s="6" t="n">
        <v>0.98532323376968</v>
      </c>
      <c r="I9" s="6" t="n">
        <v>0.0233765860671282</v>
      </c>
    </row>
    <row r="10">
      <c r="A10" t="s">
        <v>17</v>
      </c>
      <c r="B10" s="3" t="n">
        <v>45.4695</v>
      </c>
      <c r="C10" s="4" t="n">
        <v>10653.42</v>
      </c>
      <c r="D10" s="4" t="n">
        <v>517.840026855469</v>
      </c>
      <c r="E10" s="5" t="n">
        <v>46293</v>
      </c>
      <c r="F10" s="4" t="n">
        <v>23545.9271011047</v>
      </c>
      <c r="G10" s="4" t="n">
        <v>12892.5071011047</v>
      </c>
      <c r="H10" s="6" t="n">
        <v>1.21017542733739</v>
      </c>
      <c r="I10" s="6" t="n">
        <v>0.0190103925891578</v>
      </c>
    </row>
    <row r="11">
      <c r="A11" t="s">
        <v>18</v>
      </c>
      <c r="B11" s="3" t="n">
        <v>88.8822</v>
      </c>
      <c r="C11" s="4" t="n">
        <v>16311.8</v>
      </c>
      <c r="D11" s="4" t="n">
        <v>196.460006713867</v>
      </c>
      <c r="E11" s="5" t="n">
        <v>46293</v>
      </c>
      <c r="F11" s="4" t="n">
        <v>17461.7976087433</v>
      </c>
      <c r="G11" s="4" t="n">
        <v>1149.99760874329</v>
      </c>
      <c r="H11" s="6" t="n">
        <v>0.0705009630294197</v>
      </c>
      <c r="I11" s="6" t="n">
        <v>0.0140982186188392</v>
      </c>
    </row>
    <row r="12">
      <c r="A12" t="s">
        <v>19</v>
      </c>
      <c r="B12" s="3" t="n">
        <v>46</v>
      </c>
      <c r="C12" s="4" t="n">
        <v>1729.74</v>
      </c>
      <c r="D12" s="4" t="n">
        <v>27.2199993133545</v>
      </c>
      <c r="E12" s="5" t="n">
        <v>46293</v>
      </c>
      <c r="F12" s="4" t="n">
        <v>1252.11996841431</v>
      </c>
      <c r="G12" s="4" t="n">
        <v>-477.620031585693</v>
      </c>
      <c r="H12" s="6" t="n">
        <v>-0.276122441283484</v>
      </c>
      <c r="I12" s="6" t="n">
        <v>0.00101093034332732</v>
      </c>
    </row>
    <row r="13">
      <c r="A13" t="s">
        <v>20</v>
      </c>
      <c r="B13" s="3" t="n">
        <v>72.1344</v>
      </c>
      <c r="C13" s="4" t="n">
        <v>10332.4</v>
      </c>
      <c r="D13" s="4" t="n">
        <v>206.369995117188</v>
      </c>
      <c r="E13" s="5" t="n">
        <v>46293</v>
      </c>
      <c r="F13" s="4" t="n">
        <v>14886.3757757812</v>
      </c>
      <c r="G13" s="4" t="n">
        <v>4553.97577578125</v>
      </c>
      <c r="H13" s="6" t="n">
        <v>0.440747142559449</v>
      </c>
      <c r="I13" s="6" t="n">
        <v>0.0120188874497132</v>
      </c>
    </row>
    <row r="14">
      <c r="A14" t="s">
        <v>21</v>
      </c>
      <c r="B14" s="3" t="n">
        <v>76.6976</v>
      </c>
      <c r="C14" s="4" t="n">
        <v>10456.39</v>
      </c>
      <c r="D14" s="4" t="n">
        <v>139.419998168945</v>
      </c>
      <c r="E14" s="5" t="n">
        <v>46293</v>
      </c>
      <c r="F14" s="4" t="n">
        <v>10693.1792515625</v>
      </c>
      <c r="G14" s="4" t="n">
        <v>236.789251562499</v>
      </c>
      <c r="H14" s="6" t="n">
        <v>0.0226454112329876</v>
      </c>
      <c r="I14" s="6" t="n">
        <v>0.0086334054601274</v>
      </c>
    </row>
    <row r="15">
      <c r="A15" t="s">
        <v>22</v>
      </c>
      <c r="B15" s="3" t="n">
        <v>203.7997</v>
      </c>
      <c r="C15" s="4" t="n">
        <v>8013.87</v>
      </c>
      <c r="D15" s="4" t="n">
        <v>46.7299995422363</v>
      </c>
      <c r="E15" s="5" t="n">
        <v>46293</v>
      </c>
      <c r="F15" s="4" t="n">
        <v>9523.5598877079</v>
      </c>
      <c r="G15" s="4" t="n">
        <v>1509.6898877079</v>
      </c>
      <c r="H15" s="6" t="n">
        <v>0.188384624121417</v>
      </c>
      <c r="I15" s="6" t="n">
        <v>0.00768908404134098</v>
      </c>
    </row>
    <row r="16">
      <c r="A16" t="s">
        <v>23</v>
      </c>
      <c r="B16" s="3" t="n">
        <v>102.3649</v>
      </c>
      <c r="C16" s="4" t="n">
        <v>12434.62</v>
      </c>
      <c r="D16" s="4" t="n">
        <v>140.630004882812</v>
      </c>
      <c r="E16" s="5" t="n">
        <v>46293</v>
      </c>
      <c r="F16" s="4" t="n">
        <v>14395.5763868286</v>
      </c>
      <c r="G16" s="4" t="n">
        <v>1960.95638682861</v>
      </c>
      <c r="H16" s="6" t="n">
        <v>0.157701352098304</v>
      </c>
      <c r="I16" s="6" t="n">
        <v>0.0116226282993963</v>
      </c>
    </row>
    <row r="17">
      <c r="A17" t="s">
        <v>24</v>
      </c>
      <c r="B17" s="3" t="n">
        <v>14.9382</v>
      </c>
      <c r="C17" s="4" t="n">
        <v>2834.32</v>
      </c>
      <c r="D17" s="4" t="n">
        <v>289.649993896484</v>
      </c>
      <c r="E17" s="5" t="n">
        <v>46293</v>
      </c>
      <c r="F17" s="4" t="n">
        <v>4326.84953882446</v>
      </c>
      <c r="G17" s="4" t="n">
        <v>1492.52953882446</v>
      </c>
      <c r="H17" s="6" t="n">
        <v>0.526591753515645</v>
      </c>
      <c r="I17" s="6" t="n">
        <v>0.00349339009052695</v>
      </c>
    </row>
    <row r="18">
      <c r="A18" t="s">
        <v>25</v>
      </c>
      <c r="B18" s="3" t="n">
        <v>7</v>
      </c>
      <c r="C18" s="4" t="n">
        <v>616.31</v>
      </c>
      <c r="D18" s="4" t="n">
        <v>112.300003051758</v>
      </c>
      <c r="E18" s="5" t="n">
        <v>46293</v>
      </c>
      <c r="F18" s="4" t="n">
        <v>786.100021362305</v>
      </c>
      <c r="G18" s="4" t="n">
        <v>169.790021362305</v>
      </c>
      <c r="H18" s="6" t="n">
        <v>0.275494509844566</v>
      </c>
      <c r="I18" s="6" t="n">
        <v>0.000634677494594875</v>
      </c>
    </row>
    <row r="19">
      <c r="A19" t="s">
        <v>26</v>
      </c>
      <c r="B19" s="3" t="n">
        <v>69.2976</v>
      </c>
      <c r="C19" s="4" t="n">
        <v>5081.4</v>
      </c>
      <c r="D19" s="4" t="n">
        <v>152.210006713867</v>
      </c>
      <c r="E19" s="5" t="n">
        <v>46293</v>
      </c>
      <c r="F19" s="4" t="n">
        <v>10547.7881612549</v>
      </c>
      <c r="G19" s="4" t="n">
        <v>5466.38816125488</v>
      </c>
      <c r="H19" s="6" t="n">
        <v>1.07576419121795</v>
      </c>
      <c r="I19" s="6" t="n">
        <v>0.00851602033046802</v>
      </c>
    </row>
    <row r="20">
      <c r="A20" t="s">
        <v>27</v>
      </c>
      <c r="B20" s="3" t="n">
        <v>283.0322</v>
      </c>
      <c r="C20" s="4" t="n">
        <v>10016.91</v>
      </c>
      <c r="D20" s="4" t="n">
        <v>80.6399993896484</v>
      </c>
      <c r="E20" s="5" t="n">
        <v>46293</v>
      </c>
      <c r="F20" s="4" t="n">
        <v>22823.7164352509</v>
      </c>
      <c r="G20" s="4" t="n">
        <v>12806.8064352509</v>
      </c>
      <c r="H20" s="6" t="n">
        <v>1.27851866845673</v>
      </c>
      <c r="I20" s="6" t="n">
        <v>0.0184272977621414</v>
      </c>
    </row>
    <row r="21">
      <c r="A21" t="s">
        <v>28</v>
      </c>
      <c r="B21" s="3" t="n">
        <v>207.3731</v>
      </c>
      <c r="C21" s="4" t="n">
        <v>39364.75</v>
      </c>
      <c r="D21" s="4" t="n">
        <v>339.160003662109</v>
      </c>
      <c r="E21" s="5" t="n">
        <v>46293</v>
      </c>
      <c r="F21" s="4" t="n">
        <v>70332.661355423</v>
      </c>
      <c r="G21" s="4" t="n">
        <v>30967.911355423</v>
      </c>
      <c r="H21" s="6" t="n">
        <v>0.786691427112403</v>
      </c>
      <c r="I21" s="6" t="n">
        <v>0.0567848315534853</v>
      </c>
    </row>
    <row r="22">
      <c r="A22" t="s">
        <v>29</v>
      </c>
      <c r="B22" s="3" t="n">
        <v>235.5909</v>
      </c>
      <c r="C22" s="4" t="n">
        <v>6959.49</v>
      </c>
      <c r="D22" s="4" t="n">
        <v>32.4300003051758</v>
      </c>
      <c r="E22" s="5" t="n">
        <v>46293</v>
      </c>
      <c r="F22" s="4" t="n">
        <v>7640.21295889664</v>
      </c>
      <c r="G22" s="4" t="n">
        <v>680.722958896637</v>
      </c>
      <c r="H22" s="6" t="n">
        <v>0.0978121901025273</v>
      </c>
      <c r="I22" s="6" t="n">
        <v>0.00616851683901549</v>
      </c>
    </row>
    <row r="23">
      <c r="A23" t="s">
        <v>30</v>
      </c>
      <c r="B23" s="3" t="n">
        <v>72</v>
      </c>
      <c r="C23" s="4" t="n">
        <v>13424.14</v>
      </c>
      <c r="D23" s="4" t="n">
        <v>211.520004272461</v>
      </c>
      <c r="E23" s="5" t="n">
        <v>46293</v>
      </c>
      <c r="F23" s="4" t="n">
        <v>15229.4403076172</v>
      </c>
      <c r="G23" s="4" t="n">
        <v>1805.30030761719</v>
      </c>
      <c r="H23" s="6" t="n">
        <v>0.13448163589006</v>
      </c>
      <c r="I23" s="6" t="n">
        <v>0.0122958691716735</v>
      </c>
    </row>
    <row r="24">
      <c r="A24" t="s">
        <v>31</v>
      </c>
      <c r="B24" s="3" t="n">
        <v>72</v>
      </c>
      <c r="C24" s="4" t="n">
        <v>12676.7</v>
      </c>
      <c r="D24" s="4" t="n">
        <v>152.320007324219</v>
      </c>
      <c r="E24" s="5" t="n">
        <v>46293</v>
      </c>
      <c r="F24" s="4" t="n">
        <v>10967.0405273438</v>
      </c>
      <c r="G24" s="4" t="n">
        <v>-1709.65947265625</v>
      </c>
      <c r="H24" s="6" t="n">
        <v>-0.134866287965815</v>
      </c>
      <c r="I24" s="6" t="n">
        <v>0.00885451420412436</v>
      </c>
    </row>
    <row r="25">
      <c r="A25" t="s">
        <v>32</v>
      </c>
      <c r="B25" s="3" t="n">
        <v>159.3536</v>
      </c>
      <c r="C25" s="4" t="n">
        <v>26701.05</v>
      </c>
      <c r="D25" s="4" t="n">
        <v>226.070007324219</v>
      </c>
      <c r="E25" s="5" t="n">
        <v>46293</v>
      </c>
      <c r="F25" s="4" t="n">
        <v>36025.0695191406</v>
      </c>
      <c r="G25" s="4" t="n">
        <v>9324.01951914063</v>
      </c>
      <c r="H25" s="6" t="n">
        <v>0.349200481596815</v>
      </c>
      <c r="I25" s="6" t="n">
        <v>0.0290857400377508</v>
      </c>
    </row>
    <row r="26">
      <c r="A26" t="s">
        <v>33</v>
      </c>
      <c r="B26" s="3" t="n">
        <v>140.409</v>
      </c>
      <c r="C26" s="4" t="n">
        <v>21173.89</v>
      </c>
      <c r="D26" s="4" t="n">
        <v>271.950012207031</v>
      </c>
      <c r="E26" s="5" t="n">
        <v>46293</v>
      </c>
      <c r="F26" s="4" t="n">
        <v>38184.229263977</v>
      </c>
      <c r="G26" s="4" t="n">
        <v>17010.339263977</v>
      </c>
      <c r="H26" s="6" t="n">
        <v>0.803363919618787</v>
      </c>
      <c r="I26" s="6" t="n">
        <v>0.0308289916088525</v>
      </c>
    </row>
    <row r="27">
      <c r="A27" t="s">
        <v>34</v>
      </c>
      <c r="B27" s="3" t="n">
        <v>60.8396</v>
      </c>
      <c r="C27" s="4" t="n">
        <v>8122.61</v>
      </c>
      <c r="D27" s="4" t="n">
        <v>336.589996337891</v>
      </c>
      <c r="E27" s="5" t="n">
        <v>46293</v>
      </c>
      <c r="F27" s="4" t="n">
        <v>20478.0007411987</v>
      </c>
      <c r="G27" s="4" t="n">
        <v>12355.3907411987</v>
      </c>
      <c r="H27" s="6" t="n">
        <v>1.52111091646635</v>
      </c>
      <c r="I27" s="6" t="n">
        <v>0.0165334255839511</v>
      </c>
    </row>
    <row r="28">
      <c r="A28" t="s">
        <v>35</v>
      </c>
      <c r="B28" s="3" t="n">
        <v>232.213</v>
      </c>
      <c r="C28" s="4" t="n">
        <v>14691.26</v>
      </c>
      <c r="D28" s="4" t="n">
        <v>87.1800003051758</v>
      </c>
      <c r="E28" s="5" t="n">
        <v>46293</v>
      </c>
      <c r="F28" s="4" t="n">
        <v>20244.3294108658</v>
      </c>
      <c r="G28" s="4" t="n">
        <v>5553.06941086578</v>
      </c>
      <c r="H28" s="6" t="n">
        <v>0.37798455754413</v>
      </c>
      <c r="I28" s="6" t="n">
        <v>0.0163447651966414</v>
      </c>
    </row>
    <row r="29">
      <c r="A29" t="s">
        <v>36</v>
      </c>
      <c r="B29" s="3" t="n">
        <v>256.5375</v>
      </c>
      <c r="C29" s="4" t="n">
        <v>18015.54</v>
      </c>
      <c r="D29" s="4" t="n">
        <v>60.1800003051758</v>
      </c>
      <c r="E29" s="5" t="n">
        <v>46293</v>
      </c>
      <c r="F29" s="4" t="n">
        <v>15438.426828289</v>
      </c>
      <c r="G29" s="4" t="n">
        <v>-2577.11317171097</v>
      </c>
      <c r="H29" s="6" t="n">
        <v>-0.143049454621453</v>
      </c>
      <c r="I29" s="6" t="n">
        <v>0.0124645996611019</v>
      </c>
    </row>
    <row r="30">
      <c r="A30" t="s">
        <v>37</v>
      </c>
      <c r="B30" s="3" t="n">
        <v>31.0838</v>
      </c>
      <c r="C30" s="4" t="n">
        <v>14651.11</v>
      </c>
      <c r="D30" s="4" t="n">
        <v>715.619995117188</v>
      </c>
      <c r="E30" s="5" t="n">
        <v>46293</v>
      </c>
      <c r="F30" s="4" t="n">
        <v>22244.1888042236</v>
      </c>
      <c r="G30" s="4" t="n">
        <v>7593.07880422363</v>
      </c>
      <c r="H30" s="6" t="n">
        <v>0.518259627033285</v>
      </c>
      <c r="I30" s="6" t="n">
        <v>0.0179594016485254</v>
      </c>
    </row>
    <row r="31">
      <c r="A31" t="s">
        <v>38</v>
      </c>
      <c r="B31" s="3" t="n">
        <v>153.247</v>
      </c>
      <c r="C31" s="4" t="n">
        <v>13619.38</v>
      </c>
      <c r="D31" s="4" t="n">
        <v>169.479995727539</v>
      </c>
      <c r="E31" s="5" t="n">
        <v>46293</v>
      </c>
      <c r="F31" s="4" t="n">
        <v>25972.3009052582</v>
      </c>
      <c r="G31" s="4" t="n">
        <v>12352.9209052582</v>
      </c>
      <c r="H31" s="6" t="n">
        <v>0.907010517751776</v>
      </c>
      <c r="I31" s="6" t="n">
        <v>0.0209693861079494</v>
      </c>
    </row>
    <row r="32">
      <c r="A32" t="s">
        <v>39</v>
      </c>
      <c r="B32" s="3" t="n">
        <v>142.1491</v>
      </c>
      <c r="C32" s="4" t="n">
        <v>57955.07</v>
      </c>
      <c r="D32" s="4" t="n">
        <v>509.220001220703</v>
      </c>
      <c r="E32" s="5" t="n">
        <v>46293</v>
      </c>
      <c r="F32" s="4" t="n">
        <v>72385.1648755218</v>
      </c>
      <c r="G32" s="4" t="n">
        <v>14430.0948755218</v>
      </c>
      <c r="H32" s="6" t="n">
        <v>0.24898761877989</v>
      </c>
      <c r="I32" s="6" t="n">
        <v>0.0584419715565169</v>
      </c>
    </row>
    <row r="33">
      <c r="A33" t="s">
        <v>40</v>
      </c>
      <c r="B33" s="3" t="n">
        <v>144</v>
      </c>
      <c r="C33" s="4" t="n">
        <v>13617.5</v>
      </c>
      <c r="D33" s="4" t="n">
        <v>121.040000915527</v>
      </c>
      <c r="E33" s="5" t="n">
        <v>46293</v>
      </c>
      <c r="F33" s="4" t="n">
        <v>17429.7601318359</v>
      </c>
      <c r="G33" s="4" t="n">
        <v>3812.26013183594</v>
      </c>
      <c r="H33" s="6" t="n">
        <v>0.279953011333647</v>
      </c>
      <c r="I33" s="6" t="n">
        <v>0.0140723523613349</v>
      </c>
    </row>
    <row r="34">
      <c r="A34" t="s">
        <v>41</v>
      </c>
      <c r="B34" s="3" t="n">
        <v>696.5839</v>
      </c>
      <c r="C34" s="4" t="n">
        <v>18709.18</v>
      </c>
      <c r="D34" s="4" t="n">
        <v>228.860000610352</v>
      </c>
      <c r="E34" s="5" t="n">
        <v>46293</v>
      </c>
      <c r="F34" s="4" t="n">
        <v>159420.191779161</v>
      </c>
      <c r="G34" s="4" t="n">
        <v>140711.011779161</v>
      </c>
      <c r="H34" s="6" t="n">
        <v>7.52096092822674</v>
      </c>
      <c r="I34" s="6" t="n">
        <v>0.128711875278782</v>
      </c>
    </row>
    <row r="35">
      <c r="A35" t="s">
        <v>42</v>
      </c>
      <c r="B35" s="3" t="n">
        <v>78.7786</v>
      </c>
      <c r="C35" s="4" t="n">
        <v>9004.26</v>
      </c>
      <c r="D35" s="4" t="n">
        <v>132.600006103516</v>
      </c>
      <c r="E35" s="5" t="n">
        <v>46293</v>
      </c>
      <c r="F35" s="4" t="n">
        <v>10446.0428408264</v>
      </c>
      <c r="G35" s="4" t="n">
        <v>1441.78284082642</v>
      </c>
      <c r="H35" s="6" t="n">
        <v>0.160122302202115</v>
      </c>
      <c r="I35" s="6" t="n">
        <v>0.00843387370370113</v>
      </c>
    </row>
    <row r="36">
      <c r="A36" t="s">
        <v>43</v>
      </c>
      <c r="B36" s="3" t="n">
        <v>100</v>
      </c>
      <c r="C36" s="4" t="n">
        <v>9397.5</v>
      </c>
      <c r="D36" s="4" t="n">
        <v>86.5100021362305</v>
      </c>
      <c r="E36" s="5" t="n">
        <v>46293</v>
      </c>
      <c r="F36" s="4" t="n">
        <v>8651.00021362305</v>
      </c>
      <c r="G36" s="4" t="n">
        <v>-746.499786376953</v>
      </c>
      <c r="H36" s="6" t="n">
        <v>-0.0794359974862414</v>
      </c>
      <c r="I36" s="6" t="n">
        <v>0.00698460118574587</v>
      </c>
    </row>
    <row r="37">
      <c r="A37" t="s">
        <v>44</v>
      </c>
      <c r="B37" s="3" t="n">
        <v>63.8848</v>
      </c>
      <c r="C37" s="4" t="n">
        <v>11563.31</v>
      </c>
      <c r="D37" s="4" t="n">
        <v>128.5</v>
      </c>
      <c r="E37" s="5" t="n">
        <v>46293</v>
      </c>
      <c r="F37" s="4" t="n">
        <v>8209.1968</v>
      </c>
      <c r="G37" s="4" t="n">
        <v>-3354.1132</v>
      </c>
      <c r="H37" s="6" t="n">
        <v>-0.290065145706549</v>
      </c>
      <c r="I37" s="6" t="n">
        <v>0.00662790016037787</v>
      </c>
    </row>
    <row r="38">
      <c r="A38" t="s">
        <v>45</v>
      </c>
      <c r="B38" s="3" t="n">
        <v>40.5974</v>
      </c>
      <c r="C38" s="4" t="n">
        <v>6006.09</v>
      </c>
      <c r="D38" s="4" t="n">
        <v>223.669998168945</v>
      </c>
      <c r="E38" s="5" t="n">
        <v>46293</v>
      </c>
      <c r="F38" s="4" t="n">
        <v>9080.42038366394</v>
      </c>
      <c r="G38" s="4" t="n">
        <v>3074.33038366394</v>
      </c>
      <c r="H38" s="6" t="n">
        <v>0.511868850394173</v>
      </c>
      <c r="I38" s="6" t="n">
        <v>0.00733130428998665</v>
      </c>
    </row>
    <row r="39">
      <c r="A39" t="s">
        <v>46</v>
      </c>
      <c r="B39" s="3" t="n">
        <v>98.3887</v>
      </c>
      <c r="C39" s="4" t="n">
        <v>12277.41</v>
      </c>
      <c r="D39" s="4" t="n">
        <v>242.589996337891</v>
      </c>
      <c r="E39" s="5" t="n">
        <v>46293</v>
      </c>
      <c r="F39" s="4" t="n">
        <v>23868.1143726898</v>
      </c>
      <c r="G39" s="4" t="n">
        <v>11590.7043726898</v>
      </c>
      <c r="H39" s="6" t="n">
        <v>0.944067549482327</v>
      </c>
      <c r="I39" s="6" t="n">
        <v>0.0192705185333927</v>
      </c>
    </row>
    <row r="40">
      <c r="A40" t="s">
        <v>47</v>
      </c>
      <c r="B40" s="3" t="n">
        <v>81.3653</v>
      </c>
      <c r="C40" s="4" t="n">
        <v>8196.91</v>
      </c>
      <c r="D40" s="4" t="n">
        <v>187.660003662109</v>
      </c>
      <c r="E40" s="5" t="n">
        <v>46293</v>
      </c>
      <c r="F40" s="4" t="n">
        <v>15269.0124959686</v>
      </c>
      <c r="G40" s="4" t="n">
        <v>7072.10249596863</v>
      </c>
      <c r="H40" s="6" t="n">
        <v>0.862776643389842</v>
      </c>
      <c r="I40" s="6" t="n">
        <v>0.0123278187667327</v>
      </c>
    </row>
    <row r="41">
      <c r="A41" t="s">
        <v>48</v>
      </c>
      <c r="B41" s="3" t="n">
        <v>179.7434</v>
      </c>
      <c r="C41" s="4" t="n">
        <v>11974.57</v>
      </c>
      <c r="D41" s="4" t="n">
        <v>98.3000030517578</v>
      </c>
      <c r="E41" s="5" t="n">
        <v>46293</v>
      </c>
      <c r="F41" s="4" t="n">
        <v>17668.7767685333</v>
      </c>
      <c r="G41" s="4" t="n">
        <v>5694.20676853333</v>
      </c>
      <c r="H41" s="6" t="n">
        <v>0.475524947328658</v>
      </c>
      <c r="I41" s="6" t="n">
        <v>0.0142653284153016</v>
      </c>
    </row>
    <row r="42">
      <c r="A42" t="s">
        <v>49</v>
      </c>
      <c r="B42" s="3" t="n">
        <v>35.0681</v>
      </c>
      <c r="C42" s="4" t="n">
        <v>1566.62</v>
      </c>
      <c r="D42" s="4" t="n">
        <v>56.9300003051758</v>
      </c>
      <c r="E42" s="5" t="n">
        <v>46293</v>
      </c>
      <c r="F42" s="4" t="n">
        <v>1996.42694370193</v>
      </c>
      <c r="G42" s="4" t="n">
        <v>429.806943701935</v>
      </c>
      <c r="H42" s="6" t="n">
        <v>0.274353029899998</v>
      </c>
      <c r="I42" s="6" t="n">
        <v>0.00161186517788741</v>
      </c>
    </row>
    <row r="43">
      <c r="A43" t="s">
        <v>50</v>
      </c>
      <c r="B43" s="3" t="n">
        <v>36</v>
      </c>
      <c r="C43" s="4" t="n">
        <v>2284.36</v>
      </c>
      <c r="D43" s="4" t="n">
        <v>89.5400009155273</v>
      </c>
      <c r="E43" s="5" t="n">
        <v>46293</v>
      </c>
      <c r="F43" s="4" t="n">
        <v>3223.44003295898</v>
      </c>
      <c r="G43" s="4" t="n">
        <v>939.080032958984</v>
      </c>
      <c r="H43" s="6" t="n">
        <v>0.411091085887944</v>
      </c>
      <c r="I43" s="6" t="n">
        <v>0.00260252485497939</v>
      </c>
    </row>
    <row r="44">
      <c r="A44" t="s">
        <v>51</v>
      </c>
      <c r="B44" s="3" t="n">
        <v>86.7911</v>
      </c>
      <c r="C44" s="4" t="n">
        <v>6092.28</v>
      </c>
      <c r="D44" s="4" t="n">
        <v>76.8899993896484</v>
      </c>
      <c r="E44" s="5" t="n">
        <v>46293</v>
      </c>
      <c r="F44" s="4" t="n">
        <v>6673.36762602692</v>
      </c>
      <c r="G44" s="4" t="n">
        <v>581.087626026917</v>
      </c>
      <c r="H44" s="6" t="n">
        <v>0.0953809782260364</v>
      </c>
      <c r="I44" s="6" t="n">
        <v>0.00538791010087665</v>
      </c>
    </row>
    <row r="45">
      <c r="A45" t="s">
        <v>52</v>
      </c>
      <c r="B45" s="3" t="n">
        <v>142.1027</v>
      </c>
      <c r="C45" s="4" t="n">
        <v>10805.42</v>
      </c>
      <c r="D45" s="4" t="n">
        <v>88.7300033569336</v>
      </c>
      <c r="E45" s="5" t="n">
        <v>46293</v>
      </c>
      <c r="F45" s="4" t="n">
        <v>12608.7730480293</v>
      </c>
      <c r="G45" s="4" t="n">
        <v>1803.35304802933</v>
      </c>
      <c r="H45" s="6" t="n">
        <v>0.166893378325815</v>
      </c>
      <c r="I45" s="6" t="n">
        <v>0.0101800079768098</v>
      </c>
    </row>
    <row r="46">
      <c r="A46" t="s">
        <v>53</v>
      </c>
      <c r="B46" s="3" t="n">
        <v>104.5972</v>
      </c>
      <c r="C46" s="4" t="n">
        <v>15181.98</v>
      </c>
      <c r="D46" s="4" t="n">
        <v>166.449996948242</v>
      </c>
      <c r="E46" s="5" t="n">
        <v>46293</v>
      </c>
      <c r="F46" s="4" t="n">
        <v>17410.2036207947</v>
      </c>
      <c r="G46" s="4" t="n">
        <v>2228.22362079468</v>
      </c>
      <c r="H46" s="6" t="n">
        <v>0.146767656181518</v>
      </c>
      <c r="I46" s="6" t="n">
        <v>0.0140565629234856</v>
      </c>
    </row>
    <row r="47">
      <c r="A47" t="s">
        <v>54</v>
      </c>
      <c r="B47" s="3" t="n">
        <v>129</v>
      </c>
      <c r="C47" s="4" t="n">
        <v>16562.31</v>
      </c>
      <c r="D47" s="4" t="n">
        <v>452.880004882812</v>
      </c>
      <c r="E47" s="5" t="n">
        <v>46293</v>
      </c>
      <c r="F47" s="4" t="n">
        <v>58421.5206298828</v>
      </c>
      <c r="G47" s="4" t="n">
        <v>41859.2106298828</v>
      </c>
      <c r="H47" s="6" t="n">
        <v>2.52737755964493</v>
      </c>
      <c r="I47" s="6" t="n">
        <v>0.0471680744640352</v>
      </c>
    </row>
    <row r="48">
      <c r="A48" t="s">
        <v>55</v>
      </c>
      <c r="B48" s="3" t="n">
        <v>161.086</v>
      </c>
      <c r="C48" s="4" t="n">
        <v>5445.63</v>
      </c>
      <c r="D48" s="4" t="n">
        <v>36.2400016784668</v>
      </c>
      <c r="E48" s="5" t="n">
        <v>46293</v>
      </c>
      <c r="F48" s="4" t="n">
        <v>5837.7569103775</v>
      </c>
      <c r="G48" s="4" t="n">
        <v>392.126910377503</v>
      </c>
      <c r="H48" s="6" t="n">
        <v>0.0720076300405101</v>
      </c>
      <c r="I48" s="6" t="n">
        <v>0.00471325891012115</v>
      </c>
    </row>
    <row r="49">
      <c r="A49" t="s">
        <v>56</v>
      </c>
      <c r="B49" s="3" t="n">
        <v>126.1574</v>
      </c>
      <c r="C49" s="4" t="n">
        <v>17763.39</v>
      </c>
      <c r="D49" s="4" t="n">
        <v>389.570007324219</v>
      </c>
      <c r="E49" s="5" t="n">
        <v>46293</v>
      </c>
      <c r="F49" s="4" t="n">
        <v>49147.1392420044</v>
      </c>
      <c r="G49" s="4" t="n">
        <v>31383.7492420044</v>
      </c>
      <c r="H49" s="6" t="n">
        <v>1.76676576047727</v>
      </c>
      <c r="I49" s="6" t="n">
        <v>0.0396801709107759</v>
      </c>
    </row>
    <row r="50">
      <c r="A50" t="s">
        <v>57</v>
      </c>
      <c r="B50" s="3" t="n">
        <v>54.669</v>
      </c>
      <c r="C50" s="4" t="n">
        <v>9887.4</v>
      </c>
      <c r="D50" s="4" t="n">
        <v>108.730003356934</v>
      </c>
      <c r="E50" s="5" t="n">
        <v>46293</v>
      </c>
      <c r="F50" s="4" t="n">
        <v>5944.1605535202</v>
      </c>
      <c r="G50" s="4" t="n">
        <v>-3943.2394464798</v>
      </c>
      <c r="H50" s="6" t="n">
        <v>-0.398814597010316</v>
      </c>
      <c r="I50" s="6" t="n">
        <v>0.00479916655012928</v>
      </c>
    </row>
    <row r="51">
      <c r="A51" t="s">
        <v>58</v>
      </c>
      <c r="B51" s="3" t="n">
        <v>241.4719</v>
      </c>
      <c r="C51" s="4" t="n">
        <v>12773.05</v>
      </c>
      <c r="D51" s="4" t="n">
        <v>206.440002441406</v>
      </c>
      <c r="E51" s="5" t="n">
        <v>46293</v>
      </c>
      <c r="F51" s="4" t="n">
        <v>49849.459625531</v>
      </c>
      <c r="G51" s="4" t="n">
        <v>37076.409625531</v>
      </c>
      <c r="H51" s="6" t="n">
        <v>2.90270605889204</v>
      </c>
      <c r="I51" s="6" t="n">
        <v>0.0402472068213552</v>
      </c>
    </row>
    <row r="52">
      <c r="A52" t="s">
        <v>59</v>
      </c>
      <c r="B52" s="3" t="n">
        <v>115.5432</v>
      </c>
      <c r="C52" s="4" t="n">
        <v>11883.08</v>
      </c>
      <c r="D52" s="4" t="n">
        <v>162.520004272461</v>
      </c>
      <c r="E52" s="5" t="n">
        <v>46293</v>
      </c>
      <c r="F52" s="4" t="n">
        <v>18778.0813576538</v>
      </c>
      <c r="G52" s="4" t="n">
        <v>6895.00135765381</v>
      </c>
      <c r="H52" s="6" t="n">
        <v>0.580236887882082</v>
      </c>
      <c r="I52" s="6" t="n">
        <v>0.015160953193616</v>
      </c>
    </row>
    <row r="53">
      <c r="C53" s="4"/>
      <c r="D53" s="4"/>
      <c r="F53" s="4"/>
      <c r="G53" s="4"/>
      <c r="H53" s="6"/>
      <c r="I53" s="6"/>
    </row>
    <row r="54">
      <c r="A54" s="9" t="s">
        <v>60</v>
      </c>
      <c r="B54" s="9"/>
      <c r="C54" s="7" t="str">
        <f>SUMIFS(C2:C52,F2:F52,"&lt;&gt;")</f>
      </c>
      <c r="D54" s="7"/>
      <c r="E54" s="9"/>
      <c r="F54" s="7" t="str">
        <f>SUM(F2:F52)</f>
      </c>
      <c r="G54" s="7" t="str">
        <f>SUM(G2:G52)</f>
      </c>
      <c r="H54" s="8" t="str">
        <f>IF(C54=0,"",G54/C54)</f>
      </c>
      <c r="I54" s="8"/>
    </row>
    <row r="56">
      <c r="A56" t="s">
        <v>61</v>
      </c>
    </row>
  </sheetData>
  <conditionalFormatting sqref="G2:H54">
    <cfRule type="expression" dxfId="0" priority="2">
      <formula>G2&gt;0</formula>
    </cfRule>
    <cfRule type="expression" dxfId="1" priority="1">
      <formula>G2&lt;0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2026-09-29T22:59:43Z</dcterms:created>
</coreProperties>
</file>